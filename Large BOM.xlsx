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6526344e89ff6be6/Robotics/Projects/Modular Actuators/Cycloidal V1/"/>
    </mc:Choice>
  </mc:AlternateContent>
  <xr:revisionPtr revIDLastSave="100" documentId="13_ncr:1_{F2BAD6AD-764C-4FDD-B2A8-773A4E5BAF3E}" xr6:coauthVersionLast="47" xr6:coauthVersionMax="47" xr10:uidLastSave="{3C3A7CE2-F9B0-43CA-B988-EB0DAC698E9A}"/>
  <bookViews>
    <workbookView xWindow="-93" yWindow="-93" windowWidth="25786" windowHeight="13866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E12" i="1"/>
  <c r="C11" i="1"/>
  <c r="E11" i="1" s="1"/>
  <c r="C10" i="1"/>
  <c r="E10" i="1" s="1"/>
  <c r="E3" i="1"/>
  <c r="E4" i="1"/>
  <c r="E5" i="1"/>
  <c r="E6" i="1"/>
  <c r="E7" i="1"/>
  <c r="E8" i="1"/>
  <c r="E9" i="1"/>
  <c r="E2" i="1"/>
  <c r="E14" i="1" l="1"/>
</calcChain>
</file>

<file path=xl/sharedStrings.xml><?xml version="1.0" encoding="utf-8"?>
<sst xmlns="http://schemas.openxmlformats.org/spreadsheetml/2006/main" count="37" uniqueCount="29">
  <si>
    <t>price</t>
  </si>
  <si>
    <t>quantity</t>
  </si>
  <si>
    <t>url</t>
  </si>
  <si>
    <t>subtotal</t>
  </si>
  <si>
    <t>Gimbal motor, large thru-hole, low-cogging</t>
  </si>
  <si>
    <t>https://www.cubemars.com/product/g80-kv30-kv60-gimbal-motor.html</t>
  </si>
  <si>
    <t>12-bit magnetic rotary position sensor module + magnets, Amazon 2-pack</t>
  </si>
  <si>
    <t>https://www.amazon.ca/dp/B0DD7B64FB</t>
  </si>
  <si>
    <t>Miniature flanged deep-groove ball bearing, double metal shield</t>
  </si>
  <si>
    <t>https://www.amazon.ca/F694ZZ-Miniature-Bearings-Shielded-Pre-Lubricated/dp/B0CRLFQ34F</t>
  </si>
  <si>
    <t>Miniature deep-groove ball bearing, double metal shields</t>
  </si>
  <si>
    <t>https://www.amazon.ca/dp/B07FW1958S</t>
  </si>
  <si>
    <t>Brushless motor control board (ESC) with STM32G431 MCU (evaluation board)</t>
  </si>
  <si>
    <t>https://estore.st.com/en/b-g431b-esc1-cpn.html</t>
  </si>
  <si>
    <t>Grand Total</t>
  </si>
  <si>
    <t>Description</t>
  </si>
  <si>
    <t>https://www.amazon.ca/gp/product/B082PYMKLG/ref=sw_img_1?smid=A30WUG2ZDGM0XM&amp;th=1</t>
  </si>
  <si>
    <t>Ball Bearings 30mm Inner Dia 42mm OD 7mm</t>
  </si>
  <si>
    <t>✓</t>
  </si>
  <si>
    <t>https://www.amazon.ca/Cicidorai-M4-0-7-Button-Machine-Quantity/dp/B09KNDM8J2/ref=sr_1_1_sspa?crid=3AEO5Q8TUFWHP&amp;dib=eyJ2IjoiMSJ9.P0yLSSqaL3L-5BYuXNkHILcCPBDTYDCN_VWoYjwKa5GjcekaDEQsgnS-jXHzykaqXjUkZTjRNF1q1y-OmNd5C7gxhpj9EYYAm5L1UdP8G2BJMCGOrfs7PU3RkDnOaexKszR8s0s1o5J8u20fgoPxtD8x7l1Xiyc2sHvx_CV-4ao-mBfxM9jk-tT_km_-1lM_aPe2ahaw_5B326FKkOUmBFnBbOEEBqmzf_k_sAwn9-Ike83mtH6apgWjCiEP3XXgSY5ncC0yfTY6sJJtzhVQ1vBdItRjWtfiQdkMMDLyRUA.UN10El67_UZOjs61P3THYw0PjTwu9EgwQY5rkP4ptXs&amp;dib_tag=se&amp;keywords=m4x35&amp;qid=1768599600&amp;sprefix=mx35%2Caps%2C180&amp;sr=8-1-spons&amp;sp_csd=d2lkZ2V0TmFtZT1zcF9hdGY&amp;th=1</t>
  </si>
  <si>
    <t>https://www.amazon.ca/iexcell-Thread-Socket-Button-Screws/dp/B0CTH4FXQ9/ref=sr_1_7?crid=1JRH5ZTDTD1FJ&amp;dib=eyJ2IjoiMSJ9.FwIZT59jfcKHrMipRgcqShnZhNCGiLL4a2ad1iClk0CESMOK8GkXlHTK8VcArlhnRdavFYZG7_hKPqyAE9gz1v_V0BdJAyZ00jiFqtKvut18s3rL_vW_0h75vUdQCweSs-qKYt9H13XvQyWyC49S6o42nKAFPXIl9RTTLdN8iO6sgtqBh-JVHyGp4YUuGD0UlGPMmz3HKtmicEgBxTHQrpkWb27MN9LtdS3PP8fIp1GoL8BMXgfwuR2k2yPyoEU5GeicLtJTXQI9-RqB96A4QHgKO9J35uSDC4ifm5y0Zgg.wo4pV6HAjRGDqnGAmo50GYbfz82XRjaBGwB--atIg9Q&amp;dib_tag=se&amp;keywords=m4x40&amp;qid=1768599756&amp;refinements=p_85%3A5690392011&amp;rnid=5690384011&amp;rps=1&amp;sprefix=m4x40%2Caps%2C178&amp;sr=8-7&amp;th=1</t>
  </si>
  <si>
    <t>50 Pcs M4 x 40mm Thread Pitch 0.7 mm Alloy Steel 12.9 Grade Hex Socket Button Head Cap Screws</t>
  </si>
  <si>
    <t>M4-0.7 x 35mm Button Head Socket Cap Bolts Screws</t>
  </si>
  <si>
    <t>https://www.amazon.ca/dp/B0FCBVB2G2?ref=ppx_yo2ov_dt_b_fed_asin_title</t>
  </si>
  <si>
    <t>6pcs MT6701 Magnetic Encoder Magnetic Induction Angle Measurement Sensor</t>
  </si>
  <si>
    <t>https://ca.store.bambulab.com/products/petg-hf</t>
  </si>
  <si>
    <t>PETG HF</t>
  </si>
  <si>
    <t>Deep Groove Ball Bearing 80x100x10mm</t>
  </si>
  <si>
    <t>https://www.amazon.ca/gp/product/B07RQ4RXDR/ref=sw_img_1?smid=A30WUG2ZDGM0XM&amp;th=1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</si>
</sst>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$&quot;* #,##0.00_-;\-&quot;$&quot;* #,##0.00_-;_-&quot;$&quot;* &quot;-&quot;??_-;_-@_-"/>
  </numFmts>
  <fonts count="9">
    <font>
      <sz val="11"/>
      <color theme="1"/>
      <name val="Calibri"/>
      <family val="2"/>
      <scheme val="minor"/>
    </font>
    <font>
      <b/>
      <sz val="11"/>
      <name val="Calibri"/>
    </font>
    <font>
      <sz val="9"/>
      <color rgb="FF0F111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5"/>
      <color rgb="FFE8E8E8"/>
      <name val="Arial"/>
      <family val="2"/>
    </font>
    <font>
      <sz val="8"/>
      <color rgb="FF0F1111"/>
      <name val="Arial"/>
      <family val="2"/>
    </font>
    <font>
      <b/>
      <sz val="8"/>
      <color rgb="FF1A1A1A"/>
      <name val="__Manrope_c83fc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  <xf numFmtId="44" fontId="3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2" fontId="0" fillId="0" borderId="0" xfId="1" applyNumberFormat="1" applyFont="1" applyAlignment="1">
      <alignment horizontal="right"/>
    </xf>
    <xf numFmtId="0" fontId="4" fillId="0" borderId="0" xfId="2"/>
    <xf numFmtId="44" fontId="0" fillId="0" borderId="0" xfId="3" applyFont="1" applyAlignment="1">
      <alignment horizontal="right"/>
    </xf>
    <xf numFmtId="44" fontId="1" fillId="0" borderId="0" xfId="3" applyFont="1"/>
    <xf numFmtId="0" fontId="7" fillId="0" borderId="0" xfId="0" applyFont="1" applyAlignment="1">
      <alignment vertical="center" wrapText="1"/>
    </xf>
    <xf numFmtId="0" fontId="4" fillId="0" borderId="0" xfId="2" applyFill="1"/>
    <xf numFmtId="44" fontId="2" fillId="0" borderId="0" xfId="3" applyFont="1"/>
    <xf numFmtId="0" fontId="6" fillId="0" borderId="0" xfId="0" applyFont="1"/>
    <xf numFmtId="0" fontId="8" fillId="0" borderId="0" xfId="0" applyFont="1" applyAlignment="1">
      <alignment horizontal="left" vertical="center" wrapText="1"/>
    </xf>
  </cellXfs>
  <cellStyles count="4">
    <cellStyle name="Currency" xfId="3" builtinId="4"/>
    <cellStyle name="Hyperlink" xfId="2" builtinId="8"/>
    <cellStyle name="Normal" xfId="0" builtinId="0"/>
    <cellStyle name="Percent" xfId="1" builtinId="5"/>
  </cellStyles>
  <dxfs count="0"/>
  <tableStyles count="1" defaultTableStyle="TableStyleMedium9" defaultPivotStyle="PivotStyleLight16">
    <tableStyle name="Invisible" pivot="0" table="0" count="0" xr9:uid="{798E930A-AD51-4C52-914D-C35850ADF5F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a/Cicidorai-M4-0-7-Button-Machine-Quantity/dp/B09KNDM8J2/ref=sr_1_1_sspa?crid=3AEO5Q8TUFWHP&amp;dib=eyJ2IjoiMSJ9.P0yLSSqaL3L-5BYuXNkHILcCPBDTYDCN_VWoYjwKa5GjcekaDEQsgnS-jXHzykaqXjUkZTjRNF1q1y-OmNd5C7gxhpj9EYYAm5L1UdP8G2BJMCGOrfs7PU3RkDnOaexKszR8s0s1o5J8u20fgoPxtD8x7l1Xiyc2sHvx_CV-4ao-mBfxM9jk-tT_km_-1lM_aPe2ahaw_5B326FKkOUmBFnBbOEEBqmzf_k_sAwn9-Ike83mtH6apgWjCiEP3XXgSY5ncC0yfTY6sJJtzhVQ1vBdItRjWtfiQdkMMDLyRUA.UN10El67_UZOjs61P3THYw0PjTwu9EgwQY5rkP4ptXs&amp;dib_tag=se&amp;keywords=m4x35&amp;qid=1768599600&amp;sprefix=mx35%2Caps%2C180&amp;sr=8-1-spons&amp;sp_csd=d2lkZ2V0TmFtZT1zcF9hdGY&amp;th=1" TargetMode="External"/><Relationship Id="rId3" Type="http://schemas.openxmlformats.org/officeDocument/2006/relationships/hyperlink" Target="https://www.amazon.ca/gp/product/B082PYMKLG/ref=sw_img_1?smid=A30WUG2ZDGM0XM&amp;th=1" TargetMode="External"/><Relationship Id="rId7" Type="http://schemas.openxmlformats.org/officeDocument/2006/relationships/hyperlink" Target="https://ca.store.bambulab.com/products/petg-hf" TargetMode="External"/><Relationship Id="rId2" Type="http://schemas.openxmlformats.org/officeDocument/2006/relationships/hyperlink" Target="https://www.amazon.ca/dp/B07FW1958S" TargetMode="External"/><Relationship Id="rId1" Type="http://schemas.openxmlformats.org/officeDocument/2006/relationships/hyperlink" Target="https://www.amazon.ca/F694ZZ-Miniature-Bearings-Shielded-Pre-Lubricated/dp/B0CRLFQ34F" TargetMode="External"/><Relationship Id="rId6" Type="http://schemas.openxmlformats.org/officeDocument/2006/relationships/hyperlink" Target="https://estore.st.com/en/b-g431b-esc1-cpn.html" TargetMode="External"/><Relationship Id="rId11" Type="http://schemas.openxmlformats.org/officeDocument/2006/relationships/hyperlink" Target="https://www.amazon.ca/gp/product/B07RQ4RXDR/ref=sw_img_1?smid=A30WUG2ZDGM0XM&amp;th=1" TargetMode="External"/><Relationship Id="rId5" Type="http://schemas.openxmlformats.org/officeDocument/2006/relationships/hyperlink" Target="https://www.amazon.ca/dp/B0DD7B64FB" TargetMode="External"/><Relationship Id="rId10" Type="http://schemas.openxmlformats.org/officeDocument/2006/relationships/hyperlink" Target="https://www.amazon.ca/dp/B0FCBVB2G2?ref=ppx_yo2ov_dt_b_fed_asin_title" TargetMode="External"/><Relationship Id="rId4" Type="http://schemas.openxmlformats.org/officeDocument/2006/relationships/hyperlink" Target="https://www.cubemars.com/product/g80-kv30-kv60-gimbal-motor.html" TargetMode="External"/><Relationship Id="rId9" Type="http://schemas.openxmlformats.org/officeDocument/2006/relationships/hyperlink" Target="https://www.amazon.ca/iexcell-Thread-Socket-Button-Screws/dp/B0CTH4FXQ9/ref=sr_1_7?crid=1JRH5ZTDTD1FJ&amp;dib=eyJ2IjoiMSJ9.FwIZT59jfcKHrMipRgcqShnZhNCGiLL4a2ad1iClk0CESMOK8GkXlHTK8VcArlhnRdavFYZG7_hKPqyAE9gz1v_V0BdJAyZ00jiFqtKvut18s3rL_vW_0h75vUdQCweSs-qKYt9H13XvQyWyC49S6o42nKAFPXIl9RTTLdN8iO6sgtqBh-JVHyGp4YUuGD0UlGPMmz3HKtmicEgBxTHQrpkWb27MN9LtdS3PP8fIp1GoL8BMXgfwuR2k2yPyoEU5GeicLtJTXQI9-RqB96A4QHgKO9J35uSDC4ifm5y0Zgg.wo4pV6HAjRGDqnGAmo50GYbfz82XRjaBGwB--atIg9Q&amp;dib_tag=se&amp;keywords=m4x40&amp;qid=1768599756&amp;refinements=p_85%3A5690392011&amp;rnid=5690384011&amp;rps=1&amp;sprefix=m4x40%2Caps%2C178&amp;sr=8-7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topLeftCell="B1" workbookViewId="0">
      <pane ySplit="1" topLeftCell="A2" activePane="bottomLeft" state="frozen"/>
      <selection pane="bottomLeft" activeCell="C6" sqref="C6"/>
    </sheetView>
  </sheetViews>
  <sheetFormatPr defaultRowHeight="14.35"/>
  <cols>
    <col min="1" max="1" width="64.234375" customWidth="1"/>
    <col min="2" max="2" width="12" customWidth="1"/>
    <col min="3" max="3" width="10" customWidth="1"/>
    <col min="4" max="4" width="88.52734375" customWidth="1"/>
    <col min="5" max="5" width="14" customWidth="1"/>
  </cols>
  <sheetData>
    <row r="1" spans="1:6">
      <c r="A1" s="1" t="s">
        <v>15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6">
      <c r="A2" t="s">
        <v>4</v>
      </c>
      <c r="B2" s="5">
        <v>250.78</v>
      </c>
      <c r="C2" s="2">
        <v>1</v>
      </c>
      <c r="D2" s="4" t="s">
        <v>5</v>
      </c>
      <c r="E2" s="5">
        <f t="shared" ref="E2:E10" si="0">B2*C2</f>
        <v>250.78</v>
      </c>
      <c r="F2" s="10" t="s">
        <v>18</v>
      </c>
    </row>
    <row r="3" spans="1:6">
      <c r="A3" t="s">
        <v>6</v>
      </c>
      <c r="B3" s="5">
        <v>6.34</v>
      </c>
      <c r="C3" s="2">
        <v>0.5</v>
      </c>
      <c r="D3" s="4" t="s">
        <v>7</v>
      </c>
      <c r="E3" s="5">
        <f t="shared" si="0"/>
        <v>3.17</v>
      </c>
      <c r="F3" s="10" t="s">
        <v>18</v>
      </c>
    </row>
    <row r="4" spans="1:6">
      <c r="A4" t="s">
        <v>8</v>
      </c>
      <c r="B4" s="5">
        <v>12.89</v>
      </c>
      <c r="C4" s="2">
        <v>0.2</v>
      </c>
      <c r="D4" s="4" t="s">
        <v>9</v>
      </c>
      <c r="E4" s="5">
        <f t="shared" si="0"/>
        <v>2.5780000000000003</v>
      </c>
      <c r="F4" s="10" t="s">
        <v>18</v>
      </c>
    </row>
    <row r="5" spans="1:6">
      <c r="A5" s="7" t="s">
        <v>27</v>
      </c>
      <c r="B5" s="5">
        <v>7</v>
      </c>
      <c r="C5" s="2">
        <v>2</v>
      </c>
      <c r="D5" s="4" t="s">
        <v>28</v>
      </c>
      <c r="E5" s="5">
        <f t="shared" si="0"/>
        <v>14</v>
      </c>
      <c r="F5" s="10" t="s">
        <v>18</v>
      </c>
    </row>
    <row r="6" spans="1:6">
      <c r="A6" t="s">
        <v>17</v>
      </c>
      <c r="B6" s="5">
        <v>18.690000000000001</v>
      </c>
      <c r="C6" s="2">
        <v>0.3</v>
      </c>
      <c r="D6" s="4" t="s">
        <v>16</v>
      </c>
      <c r="E6" s="5">
        <f t="shared" si="0"/>
        <v>5.6070000000000002</v>
      </c>
      <c r="F6" s="10" t="s">
        <v>18</v>
      </c>
    </row>
    <row r="7" spans="1:6">
      <c r="A7" t="s">
        <v>10</v>
      </c>
      <c r="B7" s="9">
        <v>13.89</v>
      </c>
      <c r="C7" s="2">
        <v>2</v>
      </c>
      <c r="D7" s="4" t="s">
        <v>11</v>
      </c>
      <c r="E7" s="5">
        <f t="shared" si="0"/>
        <v>27.78</v>
      </c>
      <c r="F7" s="10" t="s">
        <v>18</v>
      </c>
    </row>
    <row r="8" spans="1:6">
      <c r="A8" t="s">
        <v>12</v>
      </c>
      <c r="B8" s="5">
        <v>26.14</v>
      </c>
      <c r="C8" s="2">
        <v>1</v>
      </c>
      <c r="D8" s="4" t="s">
        <v>13</v>
      </c>
      <c r="E8" s="5">
        <f t="shared" si="0"/>
        <v>26.14</v>
      </c>
      <c r="F8" s="10" t="s">
        <v>18</v>
      </c>
    </row>
    <row r="9" spans="1:6">
      <c r="A9" s="11" t="s">
        <v>26</v>
      </c>
      <c r="B9" s="5">
        <v>16</v>
      </c>
      <c r="C9" s="3">
        <v>0.5</v>
      </c>
      <c r="D9" s="4" t="s">
        <v>25</v>
      </c>
      <c r="E9" s="5">
        <f t="shared" si="0"/>
        <v>8</v>
      </c>
    </row>
    <row r="10" spans="1:6">
      <c r="A10" s="7" t="s">
        <v>22</v>
      </c>
      <c r="B10" s="5">
        <v>13.25</v>
      </c>
      <c r="C10" s="2">
        <f>13/50</f>
        <v>0.26</v>
      </c>
      <c r="D10" s="8" t="s">
        <v>19</v>
      </c>
      <c r="E10" s="5">
        <f t="shared" si="0"/>
        <v>3.4450000000000003</v>
      </c>
      <c r="F10" s="10" t="s">
        <v>18</v>
      </c>
    </row>
    <row r="11" spans="1:6" ht="20.7">
      <c r="A11" s="7" t="s">
        <v>21</v>
      </c>
      <c r="B11" s="5">
        <v>12.86</v>
      </c>
      <c r="C11" s="2">
        <f>6/50</f>
        <v>0.12</v>
      </c>
      <c r="D11" s="8" t="s">
        <v>20</v>
      </c>
      <c r="E11" s="5">
        <f t="shared" ref="E11:E12" si="1">B11*C11</f>
        <v>1.5431999999999999</v>
      </c>
      <c r="F11" s="10" t="s">
        <v>18</v>
      </c>
    </row>
    <row r="12" spans="1:6">
      <c r="A12" s="7" t="s">
        <v>24</v>
      </c>
      <c r="B12" s="5">
        <v>15</v>
      </c>
      <c r="C12">
        <f>1/6</f>
        <v>0.16666666666666666</v>
      </c>
      <c r="D12" s="4" t="s">
        <v>23</v>
      </c>
      <c r="E12" s="5">
        <f t="shared" si="1"/>
        <v>2.5</v>
      </c>
    </row>
    <row r="14" spans="1:6">
      <c r="D14" s="1" t="s">
        <v>14</v>
      </c>
      <c r="E14" s="6">
        <f>SUM(E2:E12)</f>
        <v>345.54319999999996</v>
      </c>
    </row>
  </sheetData>
  <phoneticPr fontId="5" type="noConversion"/>
  <hyperlinks>
    <hyperlink ref="D4" r:id="rId1" xr:uid="{76C54E52-7109-49C8-8FEB-94146F11A598}"/>
    <hyperlink ref="D7" r:id="rId2" xr:uid="{49225DFB-E1E6-463C-B6F7-E6C8861703B9}"/>
    <hyperlink ref="D6" r:id="rId3" xr:uid="{A96207C4-10A0-4529-9E40-BD78677CCF03}"/>
    <hyperlink ref="D2" r:id="rId4" xr:uid="{DB88EC0A-1736-402D-8B16-CF0DA3232A46}"/>
    <hyperlink ref="D3" r:id="rId5" xr:uid="{DB765319-B9FE-4208-9210-F7FC705A6A9F}"/>
    <hyperlink ref="D8" r:id="rId6" xr:uid="{51FBF7F4-394F-4C38-9520-8DCB679118E2}"/>
    <hyperlink ref="D9" r:id="rId7" xr:uid="{E0EDECD4-1C25-4AF6-9488-DD9867FC54C6}"/>
    <hyperlink ref="D10" r:id="rId8" display="https://www.amazon.ca/Cicidorai-M4-0-7-Button-Machine-Quantity/dp/B09KNDM8J2/ref=sr_1_1_sspa?crid=3AEO5Q8TUFWHP&amp;dib=eyJ2IjoiMSJ9.P0yLSSqaL3L-5BYuXNkHILcCPBDTYDCN_VWoYjwKa5GjcekaDEQsgnS-jXHzykaqXjUkZTjRNF1q1y-OmNd5C7gxhpj9EYYAm5L1UdP8G2BJMCGOrfs7PU3RkDnOaexKszR8s0s1o5J8u20fgoPxtD8x7l1Xiyc2sHvx_CV-4ao-mBfxM9jk-tT_km_-1lM_aPe2ahaw_5B326FKkOUmBFnBbOEEBqmzf_k_sAwn9-Ike83mtH6apgWjCiEP3XXgSY5ncC0yfTY6sJJtzhVQ1vBdItRjWtfiQdkMMDLyRUA.UN10El67_UZOjs61P3THYw0PjTwu9EgwQY5rkP4ptXs&amp;dib_tag=se&amp;keywords=m4x35&amp;qid=1768599600&amp;sprefix=mx35%2Caps%2C180&amp;sr=8-1-spons&amp;sp_csd=d2lkZ2V0TmFtZT1zcF9hdGY&amp;th=1" xr:uid="{698EB7F0-DB7E-44DC-ABB1-9553277514EA}"/>
    <hyperlink ref="D11" r:id="rId9" display="https://www.amazon.ca/iexcell-Thread-Socket-Button-Screws/dp/B0CTH4FXQ9/ref=sr_1_7?crid=1JRH5ZTDTD1FJ&amp;dib=eyJ2IjoiMSJ9.FwIZT59jfcKHrMipRgcqShnZhNCGiLL4a2ad1iClk0CESMOK8GkXlHTK8VcArlhnRdavFYZG7_hKPqyAE9gz1v_V0BdJAyZ00jiFqtKvut18s3rL_vW_0h75vUdQCweSs-qKYt9H13XvQyWyC49S6o42nKAFPXIl9RTTLdN8iO6sgtqBh-JVHyGp4YUuGD0UlGPMmz3HKtmicEgBxTHQrpkWb27MN9LtdS3PP8fIp1GoL8BMXgfwuR2k2yPyoEU5GeicLtJTXQI9-RqB96A4QHgKO9J35uSDC4ifm5y0Zgg.wo4pV6HAjRGDqnGAmo50GYbfz82XRjaBGwB--atIg9Q&amp;dib_tag=se&amp;keywords=m4x40&amp;qid=1768599756&amp;refinements=p_85%3A5690392011&amp;rnid=5690384011&amp;rps=1&amp;sprefix=m4x40%2Caps%2C178&amp;sr=8-7&amp;th=1" xr:uid="{450E13BB-487F-452A-911E-B2259A8DF8ED}"/>
    <hyperlink ref="D12" r:id="rId10" xr:uid="{966769B0-5749-48CD-A3E2-7D93A8656D52}"/>
    <hyperlink ref="D5" r:id="rId11" xr:uid="{7B3E4172-5215-4D16-A68C-A86E5F04BDF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Hazenberg</cp:lastModifiedBy>
  <dcterms:created xsi:type="dcterms:W3CDTF">2025-09-20T20:15:10Z</dcterms:created>
  <dcterms:modified xsi:type="dcterms:W3CDTF">2026-01-22T01:13:41Z</dcterms:modified>
</cp:coreProperties>
</file>