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6526344e89ff6be6/Robotics/Projects/Modular Actuators/Cycloidal V1/"/>
    </mc:Choice>
  </mc:AlternateContent>
  <xr:revisionPtr revIDLastSave="56" documentId="13_ncr:1_{F2BAD6AD-764C-4FDD-B2A8-773A4E5BAF3E}" xr6:coauthVersionLast="47" xr6:coauthVersionMax="47" xr10:uidLastSave="{C6D63206-E4C6-4D01-8131-764B02A6CF67}"/>
  <bookViews>
    <workbookView xWindow="-93" yWindow="-93" windowWidth="25786" windowHeight="13866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3" i="1" s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<sst xmlns="http://schemas.openxmlformats.org/spreadsheetml/2006/main" count="35" uniqueCount="27">
  <si>
    <t>price</t>
  </si>
  <si>
    <t>quantity</t>
  </si>
  <si>
    <t>url</t>
  </si>
  <si>
    <t>subtotal</t>
  </si>
  <si>
    <t>Gimbal motor, large thru-hole, low-cogging</t>
  </si>
  <si>
    <t>https://www.cubemars.com/product/g80-kv30-kv60-gimbal-motor.html</t>
  </si>
  <si>
    <t>12-bit magnetic rotary position sensor module + magnets, Amazon 2-pack</t>
  </si>
  <si>
    <t>https://www.amazon.ca/dp/B0DD7B64FB</t>
  </si>
  <si>
    <t>Miniature flanged deep-groove ball bearing, double metal shield</t>
  </si>
  <si>
    <t>https://www.amazon.ca/F694ZZ-Miniature-Bearings-Shielded-Pre-Lubricated/dp/B0CRLFQ34F</t>
  </si>
  <si>
    <t>Deep groove ball bearing, thin-section series 6800; double metal shields</t>
  </si>
  <si>
    <t>https://www.amazon.ca/ACROPIX-Bearings-100x125x13mm-Lubricated-Skateboard/dp/B0DJW6JN4R</t>
  </si>
  <si>
    <t>Miniature deep-groove ball bearing, double metal shields</t>
  </si>
  <si>
    <t>https://www.amazon.ca/dp/B07FW1958S</t>
  </si>
  <si>
    <t>Brushless motor control board (ESC) with STM32G431 MCU (evaluation board)</t>
  </si>
  <si>
    <t>https://estore.st.com/en/b-g431b-esc1-cpn.html</t>
  </si>
  <si>
    <t>PLA Plus filament, red, 1.75 mm, 1 kg spool</t>
  </si>
  <si>
    <t>https://www.amazon.ca/dp/B08CVGTKC7</t>
  </si>
  <si>
    <t>Grand Total</t>
  </si>
  <si>
    <t>M4 x 45mm Thread Pitch 0.7 mm Stainless Steel 304 Hex Socket Head Cap Screws Bolts Kit</t>
  </si>
  <si>
    <t>https://www.amazon.ca/gp/product/B0BHQXB47R/ref=ox_sc_act_title_1?smid=A1ZRRCZIF57JQ9&amp;psc=1</t>
  </si>
  <si>
    <t>https://www.amazon.ca/Kozelo-Pcs-Head-Screws-Bolts/dp/B0F9XZHVLC/ref=pd_ci_mcx_mh_mcx_views_0_title?pd_rd_w=ysP8Y&amp;content-id=amzn1.sym.2419cdd9-4822-439a-9284-599ac1726c07%3Aamzn1.symc.c3d5766d-b606-46b8-ab07-1d9d1da0638a&amp;pf_rd_p=2419cdd9-4822-439a-9284-599ac1726c07&amp;pf_rd_r=86MSA7HGRZ4KMT39XJ1P&amp;pd_rd_wg=mbz2l&amp;pd_rd_r=de1ff551-faf7-4eeb-ae0b-ca81c83fe6ea&amp;pd_rd_i=B0F9XZHVLC&amp;th=1</t>
  </si>
  <si>
    <t>M4 x 50mm Thread Pitch 0.7mm Hex Bolts Pack of 20</t>
  </si>
  <si>
    <t>Description</t>
  </si>
  <si>
    <t>https://www.amazon.ca/gp/product/B082PYMKLG/ref=sw_img_1?smid=A30WUG2ZDGM0XM&amp;th=1</t>
  </si>
  <si>
    <t>Ball Bearings 30mm Inner Dia 42mm OD 7mm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</si>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</sst>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9"/>
      <color rgb="FF0F111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5"/>
      <color rgb="FFE8E8E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/>
    <xf numFmtId="2" fontId="0" fillId="0" borderId="0" xfId="1" applyNumberFormat="1" applyFont="1" applyAlignment="1">
      <alignment horizontal="right"/>
    </xf>
    <xf numFmtId="0" fontId="4" fillId="0" borderId="0" xfId="2"/>
    <xf numFmtId="0" fontId="6" fillId="2" borderId="0" xfId="0" applyFont="1" applyFill="1"/>
  </cellXfs>
  <cellStyles count="3">
    <cellStyle name="Hyperlink" xfId="2" builtinId="8"/>
    <cellStyle name="Normal" xfId="0" builtinId="0"/>
    <cellStyle name="Percent" xfId="1" builtinId="5"/>
  </cellStyles>
  <dxfs count="0"/>
  <tableStyles count="1" defaultTableStyle="TableStyleMedium9" defaultPivotStyle="PivotStyleLight16">
    <tableStyle name="Invisible" pivot="0" table="0" count="0" xr9:uid="{798E930A-AD51-4C52-914D-C35850ADF5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a/dp/B08CVGTKC7" TargetMode="External"/><Relationship Id="rId3" Type="http://schemas.openxmlformats.org/officeDocument/2006/relationships/hyperlink" Target="https://www.amazon.ca/gp/product/B082PYMKLG/ref=sw_img_1?smid=A30WUG2ZDGM0XM&amp;th=1" TargetMode="External"/><Relationship Id="rId7" Type="http://schemas.openxmlformats.org/officeDocument/2006/relationships/hyperlink" Target="https://estore.st.com/en/b-g431b-esc1-cpn.html" TargetMode="External"/><Relationship Id="rId2" Type="http://schemas.openxmlformats.org/officeDocument/2006/relationships/hyperlink" Target="https://www.amazon.ca/dp/B07FW1958S" TargetMode="External"/><Relationship Id="rId1" Type="http://schemas.openxmlformats.org/officeDocument/2006/relationships/hyperlink" Target="https://www.amazon.ca/F694ZZ-Miniature-Bearings-Shielded-Pre-Lubricated/dp/B0CRLFQ34F" TargetMode="External"/><Relationship Id="rId6" Type="http://schemas.openxmlformats.org/officeDocument/2006/relationships/hyperlink" Target="https://www.amazon.ca/ACROPIX-Bearings-100x125x13mm-Lubricated-Skateboard/dp/B0DJW6JN4R" TargetMode="External"/><Relationship Id="rId5" Type="http://schemas.openxmlformats.org/officeDocument/2006/relationships/hyperlink" Target="https://www.amazon.ca/dp/B0DD7B64FB" TargetMode="External"/><Relationship Id="rId10" Type="http://schemas.openxmlformats.org/officeDocument/2006/relationships/hyperlink" Target="https://www.amazon.ca/gp/product/B0BHQXB47R/ref=ox_sc_act_title_1?smid=A1ZRRCZIF57JQ9&amp;psc=1" TargetMode="External"/><Relationship Id="rId4" Type="http://schemas.openxmlformats.org/officeDocument/2006/relationships/hyperlink" Target="https://www.cubemars.com/product/g80-kv30-kv60-gimbal-motor.html" TargetMode="External"/><Relationship Id="rId9" Type="http://schemas.openxmlformats.org/officeDocument/2006/relationships/hyperlink" Target="https://www.amazon.ca/gp/product/B0BHQXB47R/ref=ox_sc_act_title_1?smid=A1ZRRCZIF57JQ9&amp;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pane ySplit="1" topLeftCell="A2" activePane="bottomLeft" state="frozen"/>
      <selection pane="bottomLeft" activeCell="H9" sqref="H9"/>
    </sheetView>
  </sheetViews>
  <sheetFormatPr defaultRowHeight="14.35" x14ac:dyDescent="0.5"/>
  <cols>
    <col min="1" max="1" width="64.234375" customWidth="1"/>
    <col min="2" max="2" width="12" customWidth="1"/>
    <col min="3" max="3" width="10" customWidth="1"/>
    <col min="4" max="4" width="88.52734375" customWidth="1"/>
    <col min="5" max="5" width="14" customWidth="1"/>
  </cols>
  <sheetData>
    <row r="1" spans="1:6" x14ac:dyDescent="0.5">
      <c r="A1" s="1" t="s">
        <v>23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6" x14ac:dyDescent="0.5">
      <c r="A2" t="s">
        <v>4</v>
      </c>
      <c r="B2" s="2">
        <v>250.78</v>
      </c>
      <c r="C2" s="2">
        <v>1</v>
      </c>
      <c r="D2" s="5" t="s">
        <v>5</v>
      </c>
      <c r="E2" s="2">
        <f t="shared" ref="E2:E5" si="0">B2*C2</f>
        <v>250.78</v>
      </c>
      <c r="F2" s="6" t="s">
        <v>26</v>
      </c>
    </row>
    <row r="3" spans="1:6" x14ac:dyDescent="0.5">
      <c r="A3" t="s">
        <v>6</v>
      </c>
      <c r="B3" s="2">
        <v>6.34</v>
      </c>
      <c r="C3" s="2">
        <v>1</v>
      </c>
      <c r="D3" s="5" t="s">
        <v>7</v>
      </c>
      <c r="E3" s="2">
        <f t="shared" si="0"/>
        <v>6.34</v>
      </c>
      <c r="F3" s="6" t="s">
        <v>26</v>
      </c>
    </row>
    <row r="4" spans="1:6" x14ac:dyDescent="0.5">
      <c r="A4" t="s">
        <v>8</v>
      </c>
      <c r="B4" s="2">
        <v>12.89</v>
      </c>
      <c r="C4" s="2">
        <v>0.2</v>
      </c>
      <c r="D4" s="5" t="s">
        <v>9</v>
      </c>
      <c r="E4" s="2">
        <f t="shared" si="0"/>
        <v>2.5780000000000003</v>
      </c>
      <c r="F4" s="6" t="s">
        <v>26</v>
      </c>
    </row>
    <row r="5" spans="1:6" x14ac:dyDescent="0.5">
      <c r="A5" t="s">
        <v>10</v>
      </c>
      <c r="B5" s="2">
        <v>25.09</v>
      </c>
      <c r="C5" s="2">
        <v>2</v>
      </c>
      <c r="D5" s="5" t="s">
        <v>11</v>
      </c>
      <c r="E5" s="2">
        <f t="shared" si="0"/>
        <v>50.18</v>
      </c>
      <c r="F5" s="6" t="s">
        <v>26</v>
      </c>
    </row>
    <row r="6" spans="1:6" x14ac:dyDescent="0.5">
      <c r="A6" t="s">
        <v>25</v>
      </c>
      <c r="B6" s="2">
        <v>11.19</v>
      </c>
      <c r="C6" s="2">
        <v>1.5</v>
      </c>
      <c r="D6" s="5" t="s">
        <v>24</v>
      </c>
      <c r="E6" s="2">
        <f t="shared" ref="E6:E11" si="1">B6*C6</f>
        <v>16.785</v>
      </c>
      <c r="F6" s="6" t="s">
        <v>26</v>
      </c>
    </row>
    <row r="7" spans="1:6" x14ac:dyDescent="0.5">
      <c r="A7" t="s">
        <v>12</v>
      </c>
      <c r="B7" s="3">
        <v>13.89</v>
      </c>
      <c r="C7" s="2">
        <v>3</v>
      </c>
      <c r="D7" s="5" t="s">
        <v>13</v>
      </c>
      <c r="E7" s="2">
        <f t="shared" si="1"/>
        <v>41.67</v>
      </c>
      <c r="F7" s="6" t="s">
        <v>26</v>
      </c>
    </row>
    <row r="8" spans="1:6" x14ac:dyDescent="0.5">
      <c r="A8" t="s">
        <v>14</v>
      </c>
      <c r="B8" s="2">
        <v>26.14</v>
      </c>
      <c r="C8" s="2">
        <v>1</v>
      </c>
      <c r="D8" s="5" t="s">
        <v>15</v>
      </c>
      <c r="E8" s="2">
        <f t="shared" si="1"/>
        <v>26.14</v>
      </c>
      <c r="F8" s="6" t="s">
        <v>26</v>
      </c>
    </row>
    <row r="9" spans="1:6" x14ac:dyDescent="0.5">
      <c r="A9" t="s">
        <v>16</v>
      </c>
      <c r="B9" s="2">
        <v>18.989999999999998</v>
      </c>
      <c r="C9" s="4">
        <v>0.5</v>
      </c>
      <c r="D9" s="5" t="s">
        <v>17</v>
      </c>
      <c r="E9" s="2">
        <f t="shared" si="1"/>
        <v>9.4949999999999992</v>
      </c>
    </row>
    <row r="10" spans="1:6" x14ac:dyDescent="0.5">
      <c r="A10" t="s">
        <v>19</v>
      </c>
      <c r="B10" s="2">
        <v>13.96</v>
      </c>
      <c r="C10" s="2">
        <v>0.5</v>
      </c>
      <c r="D10" s="5" t="s">
        <v>20</v>
      </c>
      <c r="E10" s="2">
        <f t="shared" si="1"/>
        <v>6.98</v>
      </c>
      <c r="F10" s="6" t="s">
        <v>26</v>
      </c>
    </row>
    <row r="11" spans="1:6" x14ac:dyDescent="0.5">
      <c r="A11" t="s">
        <v>22</v>
      </c>
      <c r="B11" s="2">
        <v>9.99</v>
      </c>
      <c r="C11" s="2">
        <v>0.25</v>
      </c>
      <c r="D11" s="5" t="s">
        <v>21</v>
      </c>
      <c r="E11" s="2">
        <f t="shared" si="1"/>
        <v>2.4975000000000001</v>
      </c>
      <c r="F11" s="6" t="s">
        <v>26</v>
      </c>
    </row>
    <row r="13" spans="1:6" x14ac:dyDescent="0.5">
      <c r="D13" s="1" t="s">
        <v>18</v>
      </c>
      <c r="E13" s="1">
        <f>SUM(E2:E11)</f>
        <v>413.44550000000004</v>
      </c>
    </row>
  </sheetData>
  <phoneticPr fontId="5" type="noConversion"/>
  <hyperlinks>
    <hyperlink ref="D4" r:id="rId1" xr:uid="{76C54E52-7109-49C8-8FEB-94146F11A598}"/>
    <hyperlink ref="D7" r:id="rId2" xr:uid="{49225DFB-E1E6-463C-B6F7-E6C8861703B9}"/>
    <hyperlink ref="D6" r:id="rId3" xr:uid="{A96207C4-10A0-4529-9E40-BD78677CCF03}"/>
    <hyperlink ref="D2" r:id="rId4" xr:uid="{DB88EC0A-1736-402D-8B16-CF0DA3232A46}"/>
    <hyperlink ref="D3" r:id="rId5" xr:uid="{DB765319-B9FE-4208-9210-F7FC705A6A9F}"/>
    <hyperlink ref="D5" r:id="rId6" xr:uid="{7B3E4172-5215-4D16-A68C-A86E5F04BDF7}"/>
    <hyperlink ref="D8" r:id="rId7" xr:uid="{51FBF7F4-394F-4C38-9520-8DCB679118E2}"/>
    <hyperlink ref="D9" r:id="rId8" xr:uid="{E0EDECD4-1C25-4AF6-9488-DD9867FC54C6}"/>
    <hyperlink ref="D10" r:id="rId9" xr:uid="{62439CDF-D3B3-4DDC-8D5F-F204C4A6E545}"/>
    <hyperlink ref="D11" r:id="rId10" display="https://www.amazon.ca/gp/product/B0BHQXB47R/ref=ox_sc_act_title_1?smid=A1ZRRCZIF57JQ9&amp;psc=1" xr:uid="{1DBF2DBD-BD91-4C2D-85A1-046AFE81D6C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Hazenberg</cp:lastModifiedBy>
  <dcterms:created xsi:type="dcterms:W3CDTF">2025-09-20T20:15:10Z</dcterms:created>
  <dcterms:modified xsi:type="dcterms:W3CDTF">2025-10-08T22:37:16Z</dcterms:modified>
</cp:coreProperties>
</file>